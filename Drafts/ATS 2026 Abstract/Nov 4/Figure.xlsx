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c/Desktop/Hyper Ca/ATS Abstract/"/>
    </mc:Choice>
  </mc:AlternateContent>
  <xr:revisionPtr revIDLastSave="0" documentId="13_ncr:1_{C2CDF8E0-1F8C-634C-A071-B210DA49C09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H3" i="1"/>
  <c r="I3" i="1"/>
  <c r="J4" i="1"/>
  <c r="H4" i="1"/>
  <c r="I4" i="1"/>
  <c r="J5" i="1"/>
  <c r="H5" i="1"/>
  <c r="I5" i="1"/>
  <c r="J6" i="1"/>
  <c r="H6" i="1"/>
  <c r="I6" i="1"/>
</calcChain>
</file>

<file path=xl/sharedStrings.xml><?xml version="1.0" encoding="utf-8"?>
<sst xmlns="http://schemas.openxmlformats.org/spreadsheetml/2006/main" count="126" uniqueCount="35">
  <si>
    <t>RFV1_name</t>
  </si>
  <si>
    <t>abg_hypercap_threshold</t>
  </si>
  <si>
    <t>any_hypercap_icd</t>
  </si>
  <si>
    <t>vbg_hypercap_threshold</t>
  </si>
  <si>
    <t>Abnormal test result</t>
  </si>
  <si>
    <t>Administrative</t>
  </si>
  <si>
    <t>Diagnostic/Screening/Preventive</t>
  </si>
  <si>
    <t>Diseases (patient‑stated)</t>
  </si>
  <si>
    <t>Injuries &amp; adverse effects</t>
  </si>
  <si>
    <t>Symptom – Circulatory</t>
  </si>
  <si>
    <t>Symptom – Digestive</t>
  </si>
  <si>
    <t>Symptom – Eye/Ear</t>
  </si>
  <si>
    <t>Symptom – General</t>
  </si>
  <si>
    <t>Symptom – Genitourinary</t>
  </si>
  <si>
    <t>Symptom – Musculoskeletal</t>
  </si>
  <si>
    <t>Symptom – Nervous</t>
  </si>
  <si>
    <t>Symptom – Psychological</t>
  </si>
  <si>
    <t>Symptom – Respiratory</t>
  </si>
  <si>
    <t>Symptom – Skin/Hair/Nails</t>
  </si>
  <si>
    <t>Treatment/Medication</t>
  </si>
  <si>
    <t>ABG</t>
  </si>
  <si>
    <t>ICD</t>
  </si>
  <si>
    <t>VBG</t>
  </si>
  <si>
    <t>Hypercapnia_Definition</t>
  </si>
  <si>
    <t>Count</t>
  </si>
  <si>
    <t>Percent</t>
  </si>
  <si>
    <t>Category</t>
  </si>
  <si>
    <t>Injuries &amp; Adverse Effects</t>
  </si>
  <si>
    <t>Other</t>
  </si>
  <si>
    <t xml:space="preserve">ABG (PaCO2 ≥ 45 mmHg) </t>
  </si>
  <si>
    <t>VBG (PCO2 ≥ 50 mmHg)</t>
  </si>
  <si>
    <t>Respiratory</t>
  </si>
  <si>
    <t>Digestive</t>
  </si>
  <si>
    <t>Nervous</t>
  </si>
  <si>
    <t>Circulatory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</si>
</sst>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Chief Complaint Symptom Categories Across Hypercapnia Definitions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Abnormal test result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2.6</c:v>
                </c:pt>
                <c:pt idx="1">
                  <c:v>1.9</c:v>
                </c:pt>
                <c:pt idx="2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4-264F-AC24-6317D7057BA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Administrative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0.2</c:v>
                </c:pt>
                <c:pt idx="1">
                  <c:v>0.3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4-264F-AC24-6317D7057BA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Diagnostic/Screening/Preventive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0.1</c:v>
                </c:pt>
                <c:pt idx="1">
                  <c:v>0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E4-264F-AC24-6317D7057BAF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Diseases (patient‑stated)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5.6</c:v>
                </c:pt>
                <c:pt idx="1">
                  <c:v>2.9</c:v>
                </c:pt>
                <c:pt idx="2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4-264F-AC24-6317D7057BAF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Injuries &amp; adverse effects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16.2</c:v>
                </c:pt>
                <c:pt idx="1">
                  <c:v>8.4</c:v>
                </c:pt>
                <c:pt idx="2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E4-264F-AC24-6317D7057BAF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Symptom – Circulatory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11.4</c:v>
                </c:pt>
                <c:pt idx="1">
                  <c:v>7.2</c:v>
                </c:pt>
                <c:pt idx="2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E4-264F-AC24-6317D7057BAF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Symptom – Digestive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Sheet1!$B$8:$D$8</c:f>
              <c:numCache>
                <c:formatCode>General</c:formatCode>
                <c:ptCount val="3"/>
                <c:pt idx="0">
                  <c:v>12</c:v>
                </c:pt>
                <c:pt idx="1">
                  <c:v>6.4</c:v>
                </c:pt>
                <c:pt idx="2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E4-264F-AC24-6317D7057BAF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Symptom – Eye/Ear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Sheet1!$B$9:$D$9</c:f>
              <c:numCache>
                <c:formatCode>General</c:formatCode>
                <c:ptCount val="3"/>
                <c:pt idx="0">
                  <c:v>0.4</c:v>
                </c:pt>
                <c:pt idx="1">
                  <c:v>0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E4-264F-AC24-6317D7057BAF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Symptom – General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Sheet1!$B$10:$D$10</c:f>
              <c:numCache>
                <c:formatCode>General</c:formatCode>
                <c:ptCount val="3"/>
                <c:pt idx="0">
                  <c:v>4.8</c:v>
                </c:pt>
                <c:pt idx="1">
                  <c:v>3.2</c:v>
                </c:pt>
                <c:pt idx="2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E4-264F-AC24-6317D7057BAF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Symptom – Genitourinary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Sheet1!$B$11:$D$11</c:f>
              <c:numCache>
                <c:formatCode>General</c:formatCode>
                <c:ptCount val="3"/>
                <c:pt idx="0">
                  <c:v>0.9</c:v>
                </c:pt>
                <c:pt idx="1">
                  <c:v>1.1000000000000001</c:v>
                </c:pt>
                <c:pt idx="2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E4-264F-AC24-6317D7057BAF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Symptom – Musculoskeletal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Sheet1!$B$12:$D$12</c:f>
              <c:numCache>
                <c:formatCode>General</c:formatCode>
                <c:ptCount val="3"/>
                <c:pt idx="0">
                  <c:v>4.0999999999999996</c:v>
                </c:pt>
                <c:pt idx="1">
                  <c:v>2.8</c:v>
                </c:pt>
                <c:pt idx="2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E4-264F-AC24-6317D7057BAF}"/>
            </c:ext>
          </c:extLst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Symptom – Nervous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Sheet1!$B$13:$D$13</c:f>
              <c:numCache>
                <c:formatCode>General</c:formatCode>
                <c:ptCount val="3"/>
                <c:pt idx="0">
                  <c:v>15.6</c:v>
                </c:pt>
                <c:pt idx="1">
                  <c:v>11.7</c:v>
                </c:pt>
                <c:pt idx="2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AE4-264F-AC24-6317D7057BAF}"/>
            </c:ext>
          </c:extLst>
        </c:ser>
        <c:ser>
          <c:idx val="12"/>
          <c:order val="12"/>
          <c:tx>
            <c:strRef>
              <c:f>Sheet1!$A$14</c:f>
              <c:strCache>
                <c:ptCount val="1"/>
                <c:pt idx="0">
                  <c:v>Symptom – Psychological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Sheet1!$B$14:$D$14</c:f>
              <c:numCache>
                <c:formatCode>General</c:formatCode>
                <c:ptCount val="3"/>
                <c:pt idx="0">
                  <c:v>0.3</c:v>
                </c:pt>
                <c:pt idx="1">
                  <c:v>0.3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AE4-264F-AC24-6317D7057BAF}"/>
            </c:ext>
          </c:extLst>
        </c:ser>
        <c:ser>
          <c:idx val="13"/>
          <c:order val="13"/>
          <c:tx>
            <c:strRef>
              <c:f>Sheet1!$A$15</c:f>
              <c:strCache>
                <c:ptCount val="1"/>
                <c:pt idx="0">
                  <c:v>Symptom – Respiratory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Sheet1!$B$15:$D$15</c:f>
              <c:numCache>
                <c:formatCode>General</c:formatCode>
                <c:ptCount val="3"/>
                <c:pt idx="0">
                  <c:v>22.7</c:v>
                </c:pt>
                <c:pt idx="1">
                  <c:v>51</c:v>
                </c:pt>
                <c:pt idx="2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AE4-264F-AC24-6317D7057BAF}"/>
            </c:ext>
          </c:extLst>
        </c:ser>
        <c:ser>
          <c:idx val="14"/>
          <c:order val="14"/>
          <c:tx>
            <c:strRef>
              <c:f>Sheet1!$A$16</c:f>
              <c:strCache>
                <c:ptCount val="1"/>
                <c:pt idx="0">
                  <c:v>Symptom – Skin/Hair/Nails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Sheet1!$B$16:$D$16</c:f>
              <c:numCache>
                <c:formatCode>General</c:formatCode>
                <c:ptCount val="3"/>
                <c:pt idx="0">
                  <c:v>2</c:v>
                </c:pt>
                <c:pt idx="1">
                  <c:v>1.7</c:v>
                </c:pt>
                <c:pt idx="2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AE4-264F-AC24-6317D7057BAF}"/>
            </c:ext>
          </c:extLst>
        </c:ser>
        <c:ser>
          <c:idx val="15"/>
          <c:order val="15"/>
          <c:tx>
            <c:strRef>
              <c:f>Sheet1!$A$17</c:f>
              <c:strCache>
                <c:ptCount val="1"/>
                <c:pt idx="0">
                  <c:v>Treatment/Medication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Sheet1!$B$17:$D$17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1.2</c:v>
                </c:pt>
                <c:pt idx="2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AE4-264F-AC24-6317D7057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4308432"/>
        <c:axId val="906478496"/>
      </c:barChart>
      <c:catAx>
        <c:axId val="87430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78496"/>
        <c:crosses val="autoZero"/>
        <c:auto val="1"/>
        <c:lblAlgn val="ctr"/>
        <c:lblOffset val="100"/>
        <c:noMultiLvlLbl val="0"/>
      </c:catAx>
      <c:valAx>
        <c:axId val="9064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0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Chief Complaint Categories Across Methods of Idenfiying Hypercapnia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Respiratory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EC5FFCB-A8E8-4246-93D9-CB65736A4B0C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E225-4848-BE95-3EB40FE1CA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092083-683D-1149-83EF-8C10CCB24737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E225-4848-BE95-3EB40FE1CA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F69EA1D-90A1-6C41-8E18-21406A8CD5EB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7-E225-4848-BE95-3EB40FE1C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Sheet1!$H$1:$J$1</c:f>
              <c:strCache>
                <c:ptCount val="3"/>
                <c:pt idx="0">
                  <c:v>ICD</c:v>
                </c:pt>
                <c:pt idx="1">
                  <c:v>VBG (PCO2 ≥ 50 mmHg)</c:v>
                </c:pt>
                <c:pt idx="2">
                  <c:v>ABG (PaCO2 ≥ 45 mmHg) </c:v>
                </c:pt>
              </c:strCache>
            </c:strRef>
          </c:cat>
          <c:val>
            <c:numRef>
              <c:f>Sheet1!$H$2:$J$2</c:f>
              <c:numCache>
                <c:formatCode>General</c:formatCode>
                <c:ptCount val="3"/>
                <c:pt idx="0">
                  <c:v>51</c:v>
                </c:pt>
                <c:pt idx="1">
                  <c:v>26.5</c:v>
                </c:pt>
                <c:pt idx="2">
                  <c:v>22.7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5-4848-BE95-3EB40FE1CA8E}"/>
            </c:ext>
          </c:extLst>
        </c:ser>
        <c:ser>
          <c:idx val="1"/>
          <c:order val="1"/>
          <c:tx>
            <c:strRef>
              <c:f>Sheet1!$G$3</c:f>
              <c:strCache>
                <c:ptCount val="1"/>
                <c:pt idx="0">
                  <c:v>Digestive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FB98D96-E1BC-F046-AE7B-379C6F2C15D3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E225-4848-BE95-3EB40FE1CA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BF5F88-4046-2A4E-A7DC-FA2C6581A2DC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E225-4848-BE95-3EB40FE1CA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27DFF8-2930-6B4F-8A4A-8AF9689C2B55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6-E225-4848-BE95-3EB40FE1C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Sheet1!$H$1:$J$1</c:f>
              <c:strCache>
                <c:ptCount val="3"/>
                <c:pt idx="0">
                  <c:v>ICD</c:v>
                </c:pt>
                <c:pt idx="1">
                  <c:v>VBG (PCO2 ≥ 50 mmHg)</c:v>
                </c:pt>
                <c:pt idx="2">
                  <c:v>ABG (PaCO2 ≥ 45 mmHg) </c:v>
                </c:pt>
              </c:strCache>
            </c:strRef>
          </c:cat>
          <c:val>
            <c:numRef>
              <c:f>Sheet1!$H$3:$J$3</c:f>
              <c:numCache>
                <c:formatCode>General</c:formatCode>
                <c:ptCount val="3"/>
                <c:pt idx="0">
                  <c:v>6.4</c:v>
                </c:pt>
                <c:pt idx="1">
                  <c:v>14.4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5-4848-BE95-3EB40FE1CA8E}"/>
            </c:ext>
          </c:extLst>
        </c:ser>
        <c:ser>
          <c:idx val="2"/>
          <c:order val="2"/>
          <c:tx>
            <c:strRef>
              <c:f>Sheet1!$G$4</c:f>
              <c:strCache>
                <c:ptCount val="1"/>
                <c:pt idx="0">
                  <c:v>Nervous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633D96B-BD7F-6C49-AF4B-0B4BF91F6E41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225-4848-BE95-3EB40FE1CA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4C53899-CE83-4740-9C82-C04BB95C0B43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E225-4848-BE95-3EB40FE1CA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4735243-724F-5749-8320-3F911BFCE272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5-E225-4848-BE95-3EB40FE1C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Sheet1!$H$1:$J$1</c:f>
              <c:strCache>
                <c:ptCount val="3"/>
                <c:pt idx="0">
                  <c:v>ICD</c:v>
                </c:pt>
                <c:pt idx="1">
                  <c:v>VBG (PCO2 ≥ 50 mmHg)</c:v>
                </c:pt>
                <c:pt idx="2">
                  <c:v>ABG (PaCO2 ≥ 45 mmHg) </c:v>
                </c:pt>
              </c:strCache>
            </c:strRef>
          </c:cat>
          <c:val>
            <c:numRef>
              <c:f>Sheet1!$H$4:$J$4</c:f>
              <c:numCache>
                <c:formatCode>General</c:formatCode>
                <c:ptCount val="3"/>
                <c:pt idx="0">
                  <c:v>11.7</c:v>
                </c:pt>
                <c:pt idx="1">
                  <c:v>14.4</c:v>
                </c:pt>
                <c:pt idx="2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5-4848-BE95-3EB40FE1CA8E}"/>
            </c:ext>
          </c:extLst>
        </c:ser>
        <c:ser>
          <c:idx val="3"/>
          <c:order val="3"/>
          <c:tx>
            <c:strRef>
              <c:f>Sheet1!$G$5</c:f>
              <c:strCache>
                <c:ptCount val="1"/>
                <c:pt idx="0">
                  <c:v>Circulatory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745619C-3C60-9143-AACB-9C19B0DEB8B1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E225-4848-BE95-3EB40FE1CA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113F53-1CFC-8F4C-B046-D990752E3C3F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E225-4848-BE95-3EB40FE1CA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642DB5A-2B8C-2A4F-BE20-0A561C4600E1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4-E225-4848-BE95-3EB40FE1C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Sheet1!$H$1:$J$1</c:f>
              <c:strCache>
                <c:ptCount val="3"/>
                <c:pt idx="0">
                  <c:v>ICD</c:v>
                </c:pt>
                <c:pt idx="1">
                  <c:v>VBG (PCO2 ≥ 50 mmHg)</c:v>
                </c:pt>
                <c:pt idx="2">
                  <c:v>ABG (PaCO2 ≥ 45 mmHg) </c:v>
                </c:pt>
              </c:strCache>
            </c:strRef>
          </c:cat>
          <c:val>
            <c:numRef>
              <c:f>Sheet1!$H$5:$J$5</c:f>
              <c:numCache>
                <c:formatCode>General</c:formatCode>
                <c:ptCount val="3"/>
                <c:pt idx="0">
                  <c:v>7.2</c:v>
                </c:pt>
                <c:pt idx="1">
                  <c:v>10.5</c:v>
                </c:pt>
                <c:pt idx="2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5-4848-BE95-3EB40FE1CA8E}"/>
            </c:ext>
          </c:extLst>
        </c:ser>
        <c:ser>
          <c:idx val="4"/>
          <c:order val="4"/>
          <c:tx>
            <c:strRef>
              <c:f>Sheet1!$G$6</c:f>
              <c:strCache>
                <c:ptCount val="1"/>
                <c:pt idx="0">
                  <c:v>Injuries &amp; Adverse Effects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2529121-0D57-554A-83B4-9AC16BBF4328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E225-4848-BE95-3EB40FE1CA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52C3181-DBE3-F34B-B46F-FDB7B1CC444D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E225-4848-BE95-3EB40FE1CA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E1BB5DC-5C3C-F047-B202-BD35E4D5B416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E225-4848-BE95-3EB40FE1C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Sheet1!$H$1:$J$1</c:f>
              <c:strCache>
                <c:ptCount val="3"/>
                <c:pt idx="0">
                  <c:v>ICD</c:v>
                </c:pt>
                <c:pt idx="1">
                  <c:v>VBG (PCO2 ≥ 50 mmHg)</c:v>
                </c:pt>
                <c:pt idx="2">
                  <c:v>ABG (PaCO2 ≥ 45 mmHg) </c:v>
                </c:pt>
              </c:strCache>
            </c:strRef>
          </c:cat>
          <c:val>
            <c:numRef>
              <c:f>Sheet1!$H$6:$J$6</c:f>
              <c:numCache>
                <c:formatCode>General</c:formatCode>
                <c:ptCount val="3"/>
                <c:pt idx="0">
                  <c:v>8.4</c:v>
                </c:pt>
                <c:pt idx="1">
                  <c:v>11.4</c:v>
                </c:pt>
                <c:pt idx="2">
                  <c:v>16.2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25-4848-BE95-3EB40FE1CA8E}"/>
            </c:ext>
          </c:extLst>
        </c:ser>
        <c:ser>
          <c:idx val="5"/>
          <c:order val="5"/>
          <c:tx>
            <c:strRef>
              <c:f>Sheet1!$G$7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5327234-8C09-D64E-AFCC-836372F0C18E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E225-4848-BE95-3EB40FE1CA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4C8C80F-98D6-D345-AA12-D99F44693A38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E225-4848-BE95-3EB40FE1CA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3FD4EA-828F-6443-A451-5E030B4DC761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E225-4848-BE95-3EB40FE1C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Sheet1!$H$1:$J$1</c:f>
              <c:strCache>
                <c:ptCount val="3"/>
                <c:pt idx="0">
                  <c:v>ICD</c:v>
                </c:pt>
                <c:pt idx="1">
                  <c:v>VBG (PCO2 ≥ 50 mmHg)</c:v>
                </c:pt>
                <c:pt idx="2">
                  <c:v>ABG (PaCO2 ≥ 45 mmHg) </c:v>
                </c:pt>
              </c:strCache>
            </c:strRef>
          </c:cat>
          <c:val>
            <c:numRef>
              <c:f>Sheet1!$H$7:$J$7</c:f>
              <c:numCache>
                <c:formatCode>General</c:formatCode>
                <c:ptCount val="3"/>
                <c:pt idx="0">
                  <c:v>15.3</c:v>
                </c:pt>
                <c:pt idx="1">
                  <c:v>22.8</c:v>
                </c:pt>
                <c:pt idx="2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25-4848-BE95-3EB40FE1CA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8533296"/>
        <c:axId val="985549792"/>
      </c:barChart>
      <c:catAx>
        <c:axId val="84853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985549792"/>
        <c:crosses val="autoZero"/>
        <c:auto val="1"/>
        <c:lblAlgn val="ctr"/>
        <c:lblOffset val="100"/>
        <c:noMultiLvlLbl val="0"/>
      </c:catAx>
      <c:valAx>
        <c:axId val="9855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84853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501650</xdr:colOff>
      <xdr:row>1</xdr:row>
      <xdr:rowOff>63500</xdr:rowOff>
    </xdr:from>
    <xdr:to>
      <xdr:col>43</xdr:col>
      <xdr:colOff>266700</xdr:colOff>
      <xdr:row>33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9C0672-6419-3838-F5B0-BC87BDA0C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374650</xdr:colOff>
      <xdr:row>1</xdr:row>
      <xdr:rowOff>177800</xdr:rowOff>
    </xdr:from>
    <xdr:to>
      <xdr:col>25</xdr:col>
      <xdr:colOff>114300</xdr:colOff>
      <xdr:row>32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ABE498-CEBD-9FB5-880E-68AF9D207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F1" workbookViewId="0">
      <selection activeCell="AB30" sqref="AB30"/>
    </sheetView>
  </sheetViews>
  <sheetFormatPr baseColWidth="10" defaultColWidth="8.83203125" defaultRowHeight="15" x14ac:dyDescent="0.2"/>
  <cols>
    <col min="1" max="1" width="25.1640625" customWidth="1"/>
    <col min="7" max="7" width="20" customWidth="1"/>
  </cols>
  <sheetData>
    <row r="1" spans="1:10" x14ac:dyDescent="0.2">
      <c r="A1" s="1" t="s">
        <v>0</v>
      </c>
      <c r="B1" s="1" t="s">
        <v>20</v>
      </c>
      <c r="C1" s="1" t="s">
        <v>21</v>
      </c>
      <c r="D1" s="1" t="s">
        <v>22</v>
      </c>
      <c r="G1" s="2" t="s">
        <v>26</v>
      </c>
      <c r="H1" s="2" t="s">
        <v>21</v>
      </c>
      <c r="I1" s="2" t="s">
        <v>30</v>
      </c>
      <c r="J1" s="2" t="s">
        <v>29</v>
      </c>
    </row>
    <row r="2" spans="1:10" x14ac:dyDescent="0.2">
      <c r="A2" s="1" t="s">
        <v>4</v>
      </c>
      <c r="B2">
        <v>2.6</v>
      </c>
      <c r="C2">
        <v>1.9</v>
      </c>
      <c r="D2">
        <v>2.9</v>
      </c>
      <c r="G2" s="3" t="s">
        <v>31</v>
      </c>
      <c r="H2" s="3">
        <v>51</v>
      </c>
      <c r="I2" s="3">
        <v>26.5</v>
      </c>
      <c r="J2" s="3">
        <v>22.7</v>
      </c>
    </row>
    <row r="3" spans="1:10" x14ac:dyDescent="0.2">
      <c r="A3" s="1" t="s">
        <v>5</v>
      </c>
      <c r="B3">
        <v>0.2</v>
      </c>
      <c r="C3">
        <v>0.3</v>
      </c>
      <c r="D3">
        <v>0.1</v>
      </c>
      <c r="G3" s="3" t="s">
        <v>32</v>
      </c>
      <c r="H3" s="3">
        <f>C8</f>
        <v>6.4</v>
      </c>
      <c r="I3" s="3">
        <f>D8</f>
        <v>14.4</v>
      </c>
      <c r="J3" s="3">
        <f>B8</f>
        <v>12</v>
      </c>
    </row>
    <row r="4" spans="1:10" x14ac:dyDescent="0.2">
      <c r="A4" s="1" t="s">
        <v>6</v>
      </c>
      <c r="B4">
        <v>0.1</v>
      </c>
      <c r="C4">
        <v>0</v>
      </c>
      <c r="D4">
        <v>0.1</v>
      </c>
      <c r="G4" s="3" t="s">
        <v>33</v>
      </c>
      <c r="H4" s="3">
        <f>C13</f>
        <v>11.7</v>
      </c>
      <c r="I4" s="3">
        <f>D13</f>
        <v>14.4</v>
      </c>
      <c r="J4" s="3">
        <f>B13</f>
        <v>15.6</v>
      </c>
    </row>
    <row r="5" spans="1:10" x14ac:dyDescent="0.2">
      <c r="A5" s="1" t="s">
        <v>7</v>
      </c>
      <c r="B5">
        <v>5.6</v>
      </c>
      <c r="C5">
        <v>2.9</v>
      </c>
      <c r="D5">
        <v>5.8</v>
      </c>
      <c r="G5" s="3" t="s">
        <v>34</v>
      </c>
      <c r="H5" s="3">
        <f>C7</f>
        <v>7.2</v>
      </c>
      <c r="I5" s="3">
        <f>D7</f>
        <v>10.5</v>
      </c>
      <c r="J5" s="3">
        <f>B7</f>
        <v>11.4</v>
      </c>
    </row>
    <row r="6" spans="1:10" x14ac:dyDescent="0.2">
      <c r="A6" s="1" t="s">
        <v>8</v>
      </c>
      <c r="B6">
        <v>16.2</v>
      </c>
      <c r="C6">
        <v>8.4</v>
      </c>
      <c r="D6">
        <v>11.4</v>
      </c>
      <c r="G6" s="3" t="s">
        <v>27</v>
      </c>
      <c r="H6" s="3">
        <f>C6</f>
        <v>8.4</v>
      </c>
      <c r="I6" s="3">
        <f>D6</f>
        <v>11.4</v>
      </c>
      <c r="J6" s="3">
        <f>B6</f>
        <v>16.2</v>
      </c>
    </row>
    <row r="7" spans="1:10" x14ac:dyDescent="0.2">
      <c r="A7" s="1" t="s">
        <v>9</v>
      </c>
      <c r="B7">
        <v>11.4</v>
      </c>
      <c r="C7">
        <v>7.2</v>
      </c>
      <c r="D7">
        <v>10.5</v>
      </c>
      <c r="G7" s="3" t="s">
        <v>28</v>
      </c>
      <c r="H7" s="3">
        <v>15.3</v>
      </c>
      <c r="I7" s="3">
        <v>22.8</v>
      </c>
      <c r="J7" s="3">
        <v>22.1</v>
      </c>
    </row>
    <row r="8" spans="1:10" x14ac:dyDescent="0.2">
      <c r="A8" s="1" t="s">
        <v>10</v>
      </c>
      <c r="B8">
        <v>12</v>
      </c>
      <c r="C8">
        <v>6.4</v>
      </c>
      <c r="D8">
        <v>14.4</v>
      </c>
    </row>
    <row r="9" spans="1:10" x14ac:dyDescent="0.2">
      <c r="A9" s="1" t="s">
        <v>11</v>
      </c>
      <c r="B9">
        <v>0.4</v>
      </c>
      <c r="C9">
        <v>0</v>
      </c>
      <c r="D9">
        <v>0.3</v>
      </c>
    </row>
    <row r="10" spans="1:10" x14ac:dyDescent="0.2">
      <c r="A10" s="1" t="s">
        <v>12</v>
      </c>
      <c r="B10">
        <v>4.8</v>
      </c>
      <c r="C10">
        <v>3.2</v>
      </c>
      <c r="D10">
        <v>5.4</v>
      </c>
    </row>
    <row r="11" spans="1:10" x14ac:dyDescent="0.2">
      <c r="A11" s="1" t="s">
        <v>13</v>
      </c>
      <c r="B11">
        <v>0.9</v>
      </c>
      <c r="C11">
        <v>1.1000000000000001</v>
      </c>
      <c r="D11">
        <v>1.3</v>
      </c>
    </row>
    <row r="12" spans="1:10" x14ac:dyDescent="0.2">
      <c r="A12" s="1" t="s">
        <v>14</v>
      </c>
      <c r="B12">
        <v>4.0999999999999996</v>
      </c>
      <c r="C12">
        <v>2.8</v>
      </c>
      <c r="D12">
        <v>3.3</v>
      </c>
    </row>
    <row r="13" spans="1:10" x14ac:dyDescent="0.2">
      <c r="A13" s="1" t="s">
        <v>15</v>
      </c>
      <c r="B13">
        <v>15.6</v>
      </c>
      <c r="C13">
        <v>11.7</v>
      </c>
      <c r="D13">
        <v>14.4</v>
      </c>
    </row>
    <row r="14" spans="1:10" x14ac:dyDescent="0.2">
      <c r="A14" s="1" t="s">
        <v>16</v>
      </c>
      <c r="B14">
        <v>0.3</v>
      </c>
      <c r="C14">
        <v>0.3</v>
      </c>
      <c r="D14">
        <v>0.6</v>
      </c>
    </row>
    <row r="15" spans="1:10" x14ac:dyDescent="0.2">
      <c r="A15" s="1" t="s">
        <v>17</v>
      </c>
      <c r="B15">
        <v>22.7</v>
      </c>
      <c r="C15">
        <v>51</v>
      </c>
      <c r="D15">
        <v>26.5</v>
      </c>
    </row>
    <row r="16" spans="1:10" x14ac:dyDescent="0.2">
      <c r="A16" s="1" t="s">
        <v>18</v>
      </c>
      <c r="B16">
        <v>2</v>
      </c>
      <c r="C16">
        <v>1.7</v>
      </c>
      <c r="D16">
        <v>1.9</v>
      </c>
    </row>
    <row r="17" spans="1:4" x14ac:dyDescent="0.2">
      <c r="A17" s="1" t="s">
        <v>19</v>
      </c>
      <c r="B17">
        <v>1.1000000000000001</v>
      </c>
      <c r="C17">
        <v>1.2</v>
      </c>
      <c r="D17">
        <v>1.1000000000000001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244E-6809-A049-ABA4-D712E54B92A5}">
  <dimension ref="A1:D47"/>
  <sheetViews>
    <sheetView workbookViewId="0">
      <selection activeCell="J14" sqref="J14"/>
    </sheetView>
  </sheetViews>
  <sheetFormatPr baseColWidth="10" defaultRowHeight="15" x14ac:dyDescent="0.2"/>
  <sheetData>
    <row r="1" spans="1:4" x14ac:dyDescent="0.2">
      <c r="A1" s="1" t="s">
        <v>23</v>
      </c>
      <c r="B1" s="1" t="s">
        <v>0</v>
      </c>
      <c r="C1" s="1" t="s">
        <v>24</v>
      </c>
      <c r="D1" s="1" t="s">
        <v>25</v>
      </c>
    </row>
    <row r="2" spans="1:4" x14ac:dyDescent="0.2">
      <c r="A2" t="s">
        <v>1</v>
      </c>
      <c r="B2" t="s">
        <v>17</v>
      </c>
      <c r="C2">
        <v>3377</v>
      </c>
      <c r="D2">
        <v>22.7</v>
      </c>
    </row>
    <row r="3" spans="1:4" x14ac:dyDescent="0.2">
      <c r="A3" t="s">
        <v>1</v>
      </c>
      <c r="B3" t="s">
        <v>8</v>
      </c>
      <c r="C3">
        <v>2406</v>
      </c>
      <c r="D3">
        <v>16.2</v>
      </c>
    </row>
    <row r="4" spans="1:4" x14ac:dyDescent="0.2">
      <c r="A4" t="s">
        <v>1</v>
      </c>
      <c r="B4" t="s">
        <v>15</v>
      </c>
      <c r="C4">
        <v>2316</v>
      </c>
      <c r="D4">
        <v>15.6</v>
      </c>
    </row>
    <row r="5" spans="1:4" x14ac:dyDescent="0.2">
      <c r="A5" t="s">
        <v>1</v>
      </c>
      <c r="B5" t="s">
        <v>10</v>
      </c>
      <c r="C5">
        <v>1790</v>
      </c>
      <c r="D5">
        <v>12</v>
      </c>
    </row>
    <row r="6" spans="1:4" x14ac:dyDescent="0.2">
      <c r="A6" t="s">
        <v>1</v>
      </c>
      <c r="B6" t="s">
        <v>9</v>
      </c>
      <c r="C6">
        <v>1690</v>
      </c>
      <c r="D6">
        <v>11.4</v>
      </c>
    </row>
    <row r="7" spans="1:4" x14ac:dyDescent="0.2">
      <c r="A7" t="s">
        <v>1</v>
      </c>
      <c r="B7" t="s">
        <v>7</v>
      </c>
      <c r="C7">
        <v>828</v>
      </c>
      <c r="D7">
        <v>5.6</v>
      </c>
    </row>
    <row r="8" spans="1:4" x14ac:dyDescent="0.2">
      <c r="A8" t="s">
        <v>1</v>
      </c>
      <c r="B8" t="s">
        <v>12</v>
      </c>
      <c r="C8">
        <v>715</v>
      </c>
      <c r="D8">
        <v>4.8</v>
      </c>
    </row>
    <row r="9" spans="1:4" x14ac:dyDescent="0.2">
      <c r="A9" t="s">
        <v>1</v>
      </c>
      <c r="B9" t="s">
        <v>14</v>
      </c>
      <c r="C9">
        <v>607</v>
      </c>
      <c r="D9">
        <v>4.0999999999999996</v>
      </c>
    </row>
    <row r="10" spans="1:4" x14ac:dyDescent="0.2">
      <c r="A10" t="s">
        <v>1</v>
      </c>
      <c r="B10" t="s">
        <v>4</v>
      </c>
      <c r="C10">
        <v>388</v>
      </c>
      <c r="D10">
        <v>2.6</v>
      </c>
    </row>
    <row r="11" spans="1:4" x14ac:dyDescent="0.2">
      <c r="A11" t="s">
        <v>1</v>
      </c>
      <c r="B11" t="s">
        <v>18</v>
      </c>
      <c r="C11">
        <v>296</v>
      </c>
      <c r="D11">
        <v>2</v>
      </c>
    </row>
    <row r="12" spans="1:4" x14ac:dyDescent="0.2">
      <c r="A12" t="s">
        <v>1</v>
      </c>
      <c r="B12" t="s">
        <v>19</v>
      </c>
      <c r="C12">
        <v>169</v>
      </c>
      <c r="D12">
        <v>1.1000000000000001</v>
      </c>
    </row>
    <row r="13" spans="1:4" x14ac:dyDescent="0.2">
      <c r="A13" t="s">
        <v>1</v>
      </c>
      <c r="B13" t="s">
        <v>13</v>
      </c>
      <c r="C13">
        <v>129</v>
      </c>
      <c r="D13">
        <v>0.9</v>
      </c>
    </row>
    <row r="14" spans="1:4" x14ac:dyDescent="0.2">
      <c r="A14" t="s">
        <v>1</v>
      </c>
      <c r="B14" t="s">
        <v>11</v>
      </c>
      <c r="C14">
        <v>56</v>
      </c>
      <c r="D14">
        <v>0.4</v>
      </c>
    </row>
    <row r="15" spans="1:4" x14ac:dyDescent="0.2">
      <c r="A15" t="s">
        <v>1</v>
      </c>
      <c r="B15" t="s">
        <v>16</v>
      </c>
      <c r="C15">
        <v>49</v>
      </c>
      <c r="D15">
        <v>0.3</v>
      </c>
    </row>
    <row r="16" spans="1:4" x14ac:dyDescent="0.2">
      <c r="A16" t="s">
        <v>1</v>
      </c>
      <c r="B16" t="s">
        <v>5</v>
      </c>
      <c r="C16">
        <v>25</v>
      </c>
      <c r="D16">
        <v>0.2</v>
      </c>
    </row>
    <row r="17" spans="1:4" x14ac:dyDescent="0.2">
      <c r="A17" t="s">
        <v>1</v>
      </c>
      <c r="B17" t="s">
        <v>6</v>
      </c>
      <c r="C17">
        <v>21</v>
      </c>
      <c r="D17">
        <v>0.1</v>
      </c>
    </row>
    <row r="18" spans="1:4" x14ac:dyDescent="0.2">
      <c r="A18" t="s">
        <v>2</v>
      </c>
      <c r="B18" t="s">
        <v>17</v>
      </c>
      <c r="C18">
        <v>975</v>
      </c>
      <c r="D18">
        <v>51</v>
      </c>
    </row>
    <row r="19" spans="1:4" x14ac:dyDescent="0.2">
      <c r="A19" t="s">
        <v>2</v>
      </c>
      <c r="B19" t="s">
        <v>15</v>
      </c>
      <c r="C19">
        <v>223</v>
      </c>
      <c r="D19">
        <v>11.7</v>
      </c>
    </row>
    <row r="20" spans="1:4" x14ac:dyDescent="0.2">
      <c r="A20" t="s">
        <v>2</v>
      </c>
      <c r="B20" t="s">
        <v>8</v>
      </c>
      <c r="C20">
        <v>161</v>
      </c>
      <c r="D20">
        <v>8.4</v>
      </c>
    </row>
    <row r="21" spans="1:4" x14ac:dyDescent="0.2">
      <c r="A21" t="s">
        <v>2</v>
      </c>
      <c r="B21" t="s">
        <v>9</v>
      </c>
      <c r="C21">
        <v>137</v>
      </c>
      <c r="D21">
        <v>7.2</v>
      </c>
    </row>
    <row r="22" spans="1:4" x14ac:dyDescent="0.2">
      <c r="A22" t="s">
        <v>2</v>
      </c>
      <c r="B22" t="s">
        <v>10</v>
      </c>
      <c r="C22">
        <v>123</v>
      </c>
      <c r="D22">
        <v>6.4</v>
      </c>
    </row>
    <row r="23" spans="1:4" x14ac:dyDescent="0.2">
      <c r="A23" t="s">
        <v>2</v>
      </c>
      <c r="B23" t="s">
        <v>12</v>
      </c>
      <c r="C23">
        <v>61</v>
      </c>
      <c r="D23">
        <v>3.2</v>
      </c>
    </row>
    <row r="24" spans="1:4" x14ac:dyDescent="0.2">
      <c r="A24" t="s">
        <v>2</v>
      </c>
      <c r="B24" t="s">
        <v>7</v>
      </c>
      <c r="C24">
        <v>56</v>
      </c>
      <c r="D24">
        <v>2.9</v>
      </c>
    </row>
    <row r="25" spans="1:4" x14ac:dyDescent="0.2">
      <c r="A25" t="s">
        <v>2</v>
      </c>
      <c r="B25" t="s">
        <v>14</v>
      </c>
      <c r="C25">
        <v>53</v>
      </c>
      <c r="D25">
        <v>2.8</v>
      </c>
    </row>
    <row r="26" spans="1:4" x14ac:dyDescent="0.2">
      <c r="A26" t="s">
        <v>2</v>
      </c>
      <c r="B26" t="s">
        <v>4</v>
      </c>
      <c r="C26">
        <v>37</v>
      </c>
      <c r="D26">
        <v>1.9</v>
      </c>
    </row>
    <row r="27" spans="1:4" x14ac:dyDescent="0.2">
      <c r="A27" t="s">
        <v>2</v>
      </c>
      <c r="B27" t="s">
        <v>18</v>
      </c>
      <c r="C27">
        <v>32</v>
      </c>
      <c r="D27">
        <v>1.7</v>
      </c>
    </row>
    <row r="28" spans="1:4" x14ac:dyDescent="0.2">
      <c r="A28" t="s">
        <v>2</v>
      </c>
      <c r="B28" t="s">
        <v>19</v>
      </c>
      <c r="C28">
        <v>22</v>
      </c>
      <c r="D28">
        <v>1.2</v>
      </c>
    </row>
    <row r="29" spans="1:4" x14ac:dyDescent="0.2">
      <c r="A29" t="s">
        <v>2</v>
      </c>
      <c r="B29" t="s">
        <v>13</v>
      </c>
      <c r="C29">
        <v>21</v>
      </c>
      <c r="D29">
        <v>1.1000000000000001</v>
      </c>
    </row>
    <row r="30" spans="1:4" x14ac:dyDescent="0.2">
      <c r="A30" t="s">
        <v>2</v>
      </c>
      <c r="B30" t="s">
        <v>5</v>
      </c>
      <c r="C30">
        <v>5</v>
      </c>
      <c r="D30">
        <v>0.3</v>
      </c>
    </row>
    <row r="31" spans="1:4" x14ac:dyDescent="0.2">
      <c r="A31" t="s">
        <v>2</v>
      </c>
      <c r="B31" t="s">
        <v>16</v>
      </c>
      <c r="C31">
        <v>5</v>
      </c>
      <c r="D31">
        <v>0.3</v>
      </c>
    </row>
    <row r="32" spans="1:4" x14ac:dyDescent="0.2">
      <c r="A32" t="s">
        <v>3</v>
      </c>
      <c r="B32" t="s">
        <v>17</v>
      </c>
      <c r="C32">
        <v>4321</v>
      </c>
      <c r="D32">
        <v>26.5</v>
      </c>
    </row>
    <row r="33" spans="1:4" x14ac:dyDescent="0.2">
      <c r="A33" t="s">
        <v>3</v>
      </c>
      <c r="B33" t="s">
        <v>10</v>
      </c>
      <c r="C33">
        <v>2351</v>
      </c>
      <c r="D33">
        <v>14.4</v>
      </c>
    </row>
    <row r="34" spans="1:4" x14ac:dyDescent="0.2">
      <c r="A34" t="s">
        <v>3</v>
      </c>
      <c r="B34" t="s">
        <v>15</v>
      </c>
      <c r="C34">
        <v>2345</v>
      </c>
      <c r="D34">
        <v>14.4</v>
      </c>
    </row>
    <row r="35" spans="1:4" x14ac:dyDescent="0.2">
      <c r="A35" t="s">
        <v>3</v>
      </c>
      <c r="B35" t="s">
        <v>8</v>
      </c>
      <c r="C35">
        <v>1857</v>
      </c>
      <c r="D35">
        <v>11.4</v>
      </c>
    </row>
    <row r="36" spans="1:4" x14ac:dyDescent="0.2">
      <c r="A36" t="s">
        <v>3</v>
      </c>
      <c r="B36" t="s">
        <v>9</v>
      </c>
      <c r="C36">
        <v>1703</v>
      </c>
      <c r="D36">
        <v>10.5</v>
      </c>
    </row>
    <row r="37" spans="1:4" x14ac:dyDescent="0.2">
      <c r="A37" t="s">
        <v>3</v>
      </c>
      <c r="B37" t="s">
        <v>7</v>
      </c>
      <c r="C37">
        <v>945</v>
      </c>
      <c r="D37">
        <v>5.8</v>
      </c>
    </row>
    <row r="38" spans="1:4" x14ac:dyDescent="0.2">
      <c r="A38" t="s">
        <v>3</v>
      </c>
      <c r="B38" t="s">
        <v>12</v>
      </c>
      <c r="C38">
        <v>876</v>
      </c>
      <c r="D38">
        <v>5.4</v>
      </c>
    </row>
    <row r="39" spans="1:4" x14ac:dyDescent="0.2">
      <c r="A39" t="s">
        <v>3</v>
      </c>
      <c r="B39" t="s">
        <v>14</v>
      </c>
      <c r="C39">
        <v>533</v>
      </c>
      <c r="D39">
        <v>3.3</v>
      </c>
    </row>
    <row r="40" spans="1:4" x14ac:dyDescent="0.2">
      <c r="A40" t="s">
        <v>3</v>
      </c>
      <c r="B40" t="s">
        <v>4</v>
      </c>
      <c r="C40">
        <v>470</v>
      </c>
      <c r="D40">
        <v>2.9</v>
      </c>
    </row>
    <row r="41" spans="1:4" x14ac:dyDescent="0.2">
      <c r="A41" t="s">
        <v>3</v>
      </c>
      <c r="B41" t="s">
        <v>18</v>
      </c>
      <c r="C41">
        <v>316</v>
      </c>
      <c r="D41">
        <v>1.9</v>
      </c>
    </row>
    <row r="42" spans="1:4" x14ac:dyDescent="0.2">
      <c r="A42" t="s">
        <v>3</v>
      </c>
      <c r="B42" t="s">
        <v>13</v>
      </c>
      <c r="C42">
        <v>216</v>
      </c>
      <c r="D42">
        <v>1.3</v>
      </c>
    </row>
    <row r="43" spans="1:4" x14ac:dyDescent="0.2">
      <c r="A43" t="s">
        <v>3</v>
      </c>
      <c r="B43" t="s">
        <v>19</v>
      </c>
      <c r="C43">
        <v>187</v>
      </c>
      <c r="D43">
        <v>1.1000000000000001</v>
      </c>
    </row>
    <row r="44" spans="1:4" x14ac:dyDescent="0.2">
      <c r="A44" t="s">
        <v>3</v>
      </c>
      <c r="B44" t="s">
        <v>16</v>
      </c>
      <c r="C44">
        <v>97</v>
      </c>
      <c r="D44">
        <v>0.6</v>
      </c>
    </row>
    <row r="45" spans="1:4" x14ac:dyDescent="0.2">
      <c r="A45" t="s">
        <v>3</v>
      </c>
      <c r="B45" t="s">
        <v>11</v>
      </c>
      <c r="C45">
        <v>46</v>
      </c>
      <c r="D45">
        <v>0.3</v>
      </c>
    </row>
    <row r="46" spans="1:4" x14ac:dyDescent="0.2">
      <c r="A46" t="s">
        <v>3</v>
      </c>
      <c r="B46" t="s">
        <v>5</v>
      </c>
      <c r="C46">
        <v>19</v>
      </c>
      <c r="D46">
        <v>0.1</v>
      </c>
    </row>
    <row r="47" spans="1:4" x14ac:dyDescent="0.2">
      <c r="A47" t="s">
        <v>3</v>
      </c>
      <c r="B47" t="s">
        <v>6</v>
      </c>
      <c r="C47">
        <v>14</v>
      </c>
      <c r="D4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 Hatem A Merdad</cp:lastModifiedBy>
  <dcterms:created xsi:type="dcterms:W3CDTF">2025-11-02T07:00:57Z</dcterms:created>
  <dcterms:modified xsi:type="dcterms:W3CDTF">2025-11-04T08:12:43Z</dcterms:modified>
</cp:coreProperties>
</file>